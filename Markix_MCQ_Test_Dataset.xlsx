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_Keys" sheetId="1" state="visible" r:id="rId1"/>
    <sheet xmlns:r="http://schemas.openxmlformats.org/officeDocument/2006/relationships" name="Student_Responses" sheetId="2" state="visible" r:id="rId2"/>
    <sheet xmlns:r="http://schemas.openxmlformats.org/officeDocument/2006/relationships" name="Batch_Upload_Format" sheetId="3" state="visible" r:id="rId3"/>
    <sheet xmlns:r="http://schemas.openxmlformats.org/officeDocument/2006/relationships" name="Analytics_Summ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064E3B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7C3AED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30" customHeight="1">
      <c r="A1" s="1" t="inlineStr">
        <is>
          <t>MARKIX OMR — Answer Key Dataset</t>
        </is>
      </c>
    </row>
    <row r="2" ht="18" customHeight="1">
      <c r="A2" s="2" t="inlineStr">
        <is>
          <t>Upload this sheet to the Answer Keys section of the app</t>
        </is>
      </c>
    </row>
    <row r="3" ht="22" customHeight="1">
      <c r="A3" s="3" t="inlineStr">
        <is>
          <t>key_name</t>
        </is>
      </c>
      <c r="B3" s="3" t="inlineStr">
        <is>
          <t>subject</t>
        </is>
      </c>
      <c r="C3" s="3" t="inlineStr">
        <is>
          <t>class_grade</t>
        </is>
      </c>
      <c r="D3" s="3" t="inlineStr">
        <is>
          <t>total_questions</t>
        </is>
      </c>
      <c r="E3" s="3" t="inlineStr">
        <is>
          <t>Q1</t>
        </is>
      </c>
      <c r="F3" s="3" t="inlineStr">
        <is>
          <t>Q2</t>
        </is>
      </c>
      <c r="G3" s="3" t="inlineStr">
        <is>
          <t>Q3</t>
        </is>
      </c>
      <c r="H3" s="3" t="inlineStr">
        <is>
          <t>Q4</t>
        </is>
      </c>
      <c r="I3" s="3" t="inlineStr">
        <is>
          <t>Q5</t>
        </is>
      </c>
      <c r="J3" s="3" t="inlineStr">
        <is>
          <t>Q6</t>
        </is>
      </c>
      <c r="K3" s="3" t="inlineStr">
        <is>
          <t>Q7</t>
        </is>
      </c>
      <c r="L3" s="3" t="inlineStr">
        <is>
          <t>Q8</t>
        </is>
      </c>
      <c r="M3" s="3" t="inlineStr">
        <is>
          <t>Q9</t>
        </is>
      </c>
      <c r="N3" s="3" t="inlineStr">
        <is>
          <t>Q10</t>
        </is>
      </c>
      <c r="O3" s="3" t="inlineStr">
        <is>
          <t>Q11</t>
        </is>
      </c>
      <c r="P3" s="3" t="inlineStr">
        <is>
          <t>Q12</t>
        </is>
      </c>
      <c r="Q3" s="3" t="inlineStr">
        <is>
          <t>Q13</t>
        </is>
      </c>
      <c r="R3" s="3" t="inlineStr">
        <is>
          <t>Q14</t>
        </is>
      </c>
      <c r="S3" s="3" t="inlineStr">
        <is>
          <t>Q15</t>
        </is>
      </c>
      <c r="T3" s="3" t="inlineStr">
        <is>
          <t>Q16</t>
        </is>
      </c>
      <c r="U3" s="3" t="inlineStr">
        <is>
          <t>Q17</t>
        </is>
      </c>
      <c r="V3" s="3" t="inlineStr">
        <is>
          <t>Q18</t>
        </is>
      </c>
      <c r="W3" s="3" t="inlineStr">
        <is>
          <t>Q19</t>
        </is>
      </c>
      <c r="X3" s="3" t="inlineStr">
        <is>
          <t>Q20</t>
        </is>
      </c>
      <c r="Y3" s="3" t="inlineStr">
        <is>
          <t>Q21</t>
        </is>
      </c>
      <c r="Z3" s="3" t="inlineStr">
        <is>
          <t>Q22</t>
        </is>
      </c>
      <c r="AA3" s="3" t="inlineStr">
        <is>
          <t>Q23</t>
        </is>
      </c>
      <c r="AB3" s="3" t="inlineStr">
        <is>
          <t>Q24</t>
        </is>
      </c>
      <c r="AC3" s="3" t="inlineStr">
        <is>
          <t>Q25</t>
        </is>
      </c>
      <c r="AD3" s="3" t="inlineStr">
        <is>
          <t>Q26</t>
        </is>
      </c>
      <c r="AE3" s="3" t="inlineStr">
        <is>
          <t>Q27</t>
        </is>
      </c>
      <c r="AF3" s="3" t="inlineStr">
        <is>
          <t>Q28</t>
        </is>
      </c>
      <c r="AG3" s="3" t="inlineStr">
        <is>
          <t>Q29</t>
        </is>
      </c>
      <c r="AH3" s="3" t="inlineStr">
        <is>
          <t>Q30</t>
        </is>
      </c>
    </row>
    <row r="4" ht="18" customHeight="1">
      <c r="A4" s="4" t="inlineStr">
        <is>
          <t>Science_Ch5_Quiz</t>
        </is>
      </c>
      <c r="B4" s="4" t="inlineStr">
        <is>
          <t>Science</t>
        </is>
      </c>
      <c r="C4" s="4" t="inlineStr">
        <is>
          <t>Grade 8</t>
        </is>
      </c>
      <c r="D4" s="4" t="n">
        <v>20</v>
      </c>
      <c r="E4" s="4" t="inlineStr">
        <is>
          <t>A</t>
        </is>
      </c>
      <c r="F4" s="4" t="inlineStr">
        <is>
          <t>A</t>
        </is>
      </c>
      <c r="G4" s="4" t="inlineStr">
        <is>
          <t>C</t>
        </is>
      </c>
      <c r="H4" s="4" t="inlineStr">
        <is>
          <t>B</t>
        </is>
      </c>
      <c r="I4" s="4" t="inlineStr">
        <is>
          <t>B</t>
        </is>
      </c>
      <c r="J4" s="4" t="inlineStr">
        <is>
          <t>B</t>
        </is>
      </c>
      <c r="K4" s="4" t="inlineStr">
        <is>
          <t>A</t>
        </is>
      </c>
      <c r="L4" s="4" t="inlineStr">
        <is>
          <t>A</t>
        </is>
      </c>
      <c r="M4" s="4" t="inlineStr">
        <is>
          <t>D</t>
        </is>
      </c>
      <c r="N4" s="4" t="inlineStr">
        <is>
          <t>A</t>
        </is>
      </c>
      <c r="O4" s="4" t="inlineStr">
        <is>
          <t>A</t>
        </is>
      </c>
      <c r="P4" s="4" t="inlineStr">
        <is>
          <t>A</t>
        </is>
      </c>
      <c r="Q4" s="4" t="inlineStr">
        <is>
          <t>B</t>
        </is>
      </c>
      <c r="R4" s="4" t="inlineStr">
        <is>
          <t>B</t>
        </is>
      </c>
      <c r="S4" s="4" t="inlineStr">
        <is>
          <t>A</t>
        </is>
      </c>
      <c r="T4" s="4" t="inlineStr">
        <is>
          <t>B</t>
        </is>
      </c>
      <c r="U4" s="4" t="inlineStr">
        <is>
          <t>D</t>
        </is>
      </c>
      <c r="V4" s="4" t="inlineStr">
        <is>
          <t>B</t>
        </is>
      </c>
      <c r="W4" s="4" t="inlineStr">
        <is>
          <t>D</t>
        </is>
      </c>
      <c r="X4" s="4" t="inlineStr">
        <is>
          <t>C</t>
        </is>
      </c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</row>
    <row r="5" ht="18" customHeight="1">
      <c r="A5" s="5" t="inlineStr">
        <is>
          <t>Math_Algebra_Test</t>
        </is>
      </c>
      <c r="B5" s="5" t="inlineStr">
        <is>
          <t>Mathematics</t>
        </is>
      </c>
      <c r="C5" s="5" t="inlineStr">
        <is>
          <t>Grade 9</t>
        </is>
      </c>
      <c r="D5" s="5" t="n">
        <v>25</v>
      </c>
      <c r="E5" s="5" t="inlineStr">
        <is>
          <t>A</t>
        </is>
      </c>
      <c r="F5" s="5" t="inlineStr">
        <is>
          <t>B</t>
        </is>
      </c>
      <c r="G5" s="5" t="inlineStr">
        <is>
          <t>D</t>
        </is>
      </c>
      <c r="H5" s="5" t="inlineStr">
        <is>
          <t>C</t>
        </is>
      </c>
      <c r="I5" s="5" t="inlineStr">
        <is>
          <t>C</t>
        </is>
      </c>
      <c r="J5" s="5" t="inlineStr">
        <is>
          <t>B</t>
        </is>
      </c>
      <c r="K5" s="5" t="inlineStr">
        <is>
          <t>B</t>
        </is>
      </c>
      <c r="L5" s="5" t="inlineStr">
        <is>
          <t>C</t>
        </is>
      </c>
      <c r="M5" s="5" t="inlineStr">
        <is>
          <t>A</t>
        </is>
      </c>
      <c r="N5" s="5" t="inlineStr">
        <is>
          <t>A</t>
        </is>
      </c>
      <c r="O5" s="5" t="inlineStr">
        <is>
          <t>D</t>
        </is>
      </c>
      <c r="P5" s="5" t="inlineStr">
        <is>
          <t>A</t>
        </is>
      </c>
      <c r="Q5" s="5" t="inlineStr">
        <is>
          <t>C</t>
        </is>
      </c>
      <c r="R5" s="5" t="inlineStr">
        <is>
          <t>C</t>
        </is>
      </c>
      <c r="S5" s="5" t="inlineStr">
        <is>
          <t>C</t>
        </is>
      </c>
      <c r="T5" s="5" t="inlineStr">
        <is>
          <t>A</t>
        </is>
      </c>
      <c r="U5" s="5" t="inlineStr">
        <is>
          <t>D</t>
        </is>
      </c>
      <c r="V5" s="5" t="inlineStr">
        <is>
          <t>A</t>
        </is>
      </c>
      <c r="W5" s="5" t="inlineStr">
        <is>
          <t>D</t>
        </is>
      </c>
      <c r="X5" s="5" t="inlineStr">
        <is>
          <t>A</t>
        </is>
      </c>
      <c r="Y5" s="5" t="inlineStr">
        <is>
          <t>C</t>
        </is>
      </c>
      <c r="Z5" s="5" t="inlineStr">
        <is>
          <t>C</t>
        </is>
      </c>
      <c r="AA5" s="5" t="inlineStr">
        <is>
          <t>B</t>
        </is>
      </c>
      <c r="AB5" s="5" t="inlineStr">
        <is>
          <t>A</t>
        </is>
      </c>
      <c r="AC5" s="5" t="inlineStr">
        <is>
          <t>A</t>
        </is>
      </c>
      <c r="AD5" s="5" t="inlineStr"/>
      <c r="AE5" s="5" t="inlineStr"/>
      <c r="AF5" s="5" t="inlineStr"/>
      <c r="AG5" s="5" t="inlineStr"/>
      <c r="AH5" s="5" t="inlineStr"/>
    </row>
    <row r="6" ht="18" customHeight="1">
      <c r="A6" s="4" t="inlineStr">
        <is>
          <t>English_Grammar</t>
        </is>
      </c>
      <c r="B6" s="4" t="inlineStr">
        <is>
          <t>English</t>
        </is>
      </c>
      <c r="C6" s="4" t="inlineStr">
        <is>
          <t>Grade 7</t>
        </is>
      </c>
      <c r="D6" s="4" t="n">
        <v>20</v>
      </c>
      <c r="E6" s="4" t="inlineStr">
        <is>
          <t>B</t>
        </is>
      </c>
      <c r="F6" s="4" t="inlineStr">
        <is>
          <t>C</t>
        </is>
      </c>
      <c r="G6" s="4" t="inlineStr">
        <is>
          <t>A</t>
        </is>
      </c>
      <c r="H6" s="4" t="inlineStr">
        <is>
          <t>B</t>
        </is>
      </c>
      <c r="I6" s="4" t="inlineStr">
        <is>
          <t>A</t>
        </is>
      </c>
      <c r="J6" s="4" t="inlineStr">
        <is>
          <t>D</t>
        </is>
      </c>
      <c r="K6" s="4" t="inlineStr">
        <is>
          <t>C</t>
        </is>
      </c>
      <c r="L6" s="4" t="inlineStr">
        <is>
          <t>D</t>
        </is>
      </c>
      <c r="M6" s="4" t="inlineStr">
        <is>
          <t>C</t>
        </is>
      </c>
      <c r="N6" s="4" t="inlineStr">
        <is>
          <t>B</t>
        </is>
      </c>
      <c r="O6" s="4" t="inlineStr">
        <is>
          <t>C</t>
        </is>
      </c>
      <c r="P6" s="4" t="inlineStr">
        <is>
          <t>C</t>
        </is>
      </c>
      <c r="Q6" s="4" t="inlineStr">
        <is>
          <t>B</t>
        </is>
      </c>
      <c r="R6" s="4" t="inlineStr">
        <is>
          <t>C</t>
        </is>
      </c>
      <c r="S6" s="4" t="inlineStr">
        <is>
          <t>A</t>
        </is>
      </c>
      <c r="T6" s="4" t="inlineStr">
        <is>
          <t>B</t>
        </is>
      </c>
      <c r="U6" s="4" t="inlineStr">
        <is>
          <t>B</t>
        </is>
      </c>
      <c r="V6" s="4" t="inlineStr">
        <is>
          <t>B</t>
        </is>
      </c>
      <c r="W6" s="4" t="inlineStr">
        <is>
          <t>D</t>
        </is>
      </c>
      <c r="X6" s="4" t="inlineStr">
        <is>
          <t>D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 ht="18" customHeight="1">
      <c r="A7" s="5" t="inlineStr">
        <is>
          <t>History_WWI</t>
        </is>
      </c>
      <c r="B7" s="5" t="inlineStr">
        <is>
          <t>History</t>
        </is>
      </c>
      <c r="C7" s="5" t="inlineStr">
        <is>
          <t>Grade 10</t>
        </is>
      </c>
      <c r="D7" s="5" t="n">
        <v>30</v>
      </c>
      <c r="E7" s="5" t="inlineStr">
        <is>
          <t>C</t>
        </is>
      </c>
      <c r="F7" s="5" t="inlineStr">
        <is>
          <t>B</t>
        </is>
      </c>
      <c r="G7" s="5" t="inlineStr">
        <is>
          <t>C</t>
        </is>
      </c>
      <c r="H7" s="5" t="inlineStr">
        <is>
          <t>A</t>
        </is>
      </c>
      <c r="I7" s="5" t="inlineStr">
        <is>
          <t>B</t>
        </is>
      </c>
      <c r="J7" s="5" t="inlineStr">
        <is>
          <t>A</t>
        </is>
      </c>
      <c r="K7" s="5" t="inlineStr">
        <is>
          <t>C</t>
        </is>
      </c>
      <c r="L7" s="5" t="inlineStr">
        <is>
          <t>D</t>
        </is>
      </c>
      <c r="M7" s="5" t="inlineStr">
        <is>
          <t>C</t>
        </is>
      </c>
      <c r="N7" s="5" t="inlineStr">
        <is>
          <t>A</t>
        </is>
      </c>
      <c r="O7" s="5" t="inlineStr">
        <is>
          <t>B</t>
        </is>
      </c>
      <c r="P7" s="5" t="inlineStr">
        <is>
          <t>C</t>
        </is>
      </c>
      <c r="Q7" s="5" t="inlineStr">
        <is>
          <t>B</t>
        </is>
      </c>
      <c r="R7" s="5" t="inlineStr">
        <is>
          <t>D</t>
        </is>
      </c>
      <c r="S7" s="5" t="inlineStr">
        <is>
          <t>D</t>
        </is>
      </c>
      <c r="T7" s="5" t="inlineStr">
        <is>
          <t>D</t>
        </is>
      </c>
      <c r="U7" s="5" t="inlineStr">
        <is>
          <t>B</t>
        </is>
      </c>
      <c r="V7" s="5" t="inlineStr">
        <is>
          <t>C</t>
        </is>
      </c>
      <c r="W7" s="5" t="inlineStr">
        <is>
          <t>B</t>
        </is>
      </c>
      <c r="X7" s="5" t="inlineStr">
        <is>
          <t>B</t>
        </is>
      </c>
      <c r="Y7" s="5" t="inlineStr">
        <is>
          <t>C</t>
        </is>
      </c>
      <c r="Z7" s="5" t="inlineStr">
        <is>
          <t>D</t>
        </is>
      </c>
      <c r="AA7" s="5" t="inlineStr">
        <is>
          <t>D</t>
        </is>
      </c>
      <c r="AB7" s="5" t="inlineStr">
        <is>
          <t>C</t>
        </is>
      </c>
      <c r="AC7" s="5" t="inlineStr">
        <is>
          <t>B</t>
        </is>
      </c>
      <c r="AD7" s="5" t="inlineStr">
        <is>
          <t>B</t>
        </is>
      </c>
      <c r="AE7" s="5" t="inlineStr">
        <is>
          <t>D</t>
        </is>
      </c>
      <c r="AF7" s="5" t="inlineStr">
        <is>
          <t>A</t>
        </is>
      </c>
      <c r="AG7" s="5" t="inlineStr">
        <is>
          <t>A</t>
        </is>
      </c>
      <c r="AH7" s="5" t="inlineStr">
        <is>
          <t>A</t>
        </is>
      </c>
    </row>
    <row r="8" ht="18" customHeight="1">
      <c r="A8" s="4" t="inlineStr">
        <is>
          <t>Biology_Cells</t>
        </is>
      </c>
      <c r="B8" s="4" t="inlineStr">
        <is>
          <t>Biology</t>
        </is>
      </c>
      <c r="C8" s="4" t="inlineStr">
        <is>
          <t>Grade 11</t>
        </is>
      </c>
      <c r="D8" s="4" t="n">
        <v>25</v>
      </c>
      <c r="E8" s="4" t="inlineStr">
        <is>
          <t>B</t>
        </is>
      </c>
      <c r="F8" s="4" t="inlineStr">
        <is>
          <t>B</t>
        </is>
      </c>
      <c r="G8" s="4" t="inlineStr">
        <is>
          <t>D</t>
        </is>
      </c>
      <c r="H8" s="4" t="inlineStr">
        <is>
          <t>A</t>
        </is>
      </c>
      <c r="I8" s="4" t="inlineStr">
        <is>
          <t>D</t>
        </is>
      </c>
      <c r="J8" s="4" t="inlineStr">
        <is>
          <t>D</t>
        </is>
      </c>
      <c r="K8" s="4" t="inlineStr">
        <is>
          <t>D</t>
        </is>
      </c>
      <c r="L8" s="4" t="inlineStr">
        <is>
          <t>C</t>
        </is>
      </c>
      <c r="M8" s="4" t="inlineStr">
        <is>
          <t>A</t>
        </is>
      </c>
      <c r="N8" s="4" t="inlineStr">
        <is>
          <t>A</t>
        </is>
      </c>
      <c r="O8" s="4" t="inlineStr">
        <is>
          <t>C</t>
        </is>
      </c>
      <c r="P8" s="4" t="inlineStr">
        <is>
          <t>C</t>
        </is>
      </c>
      <c r="Q8" s="4" t="inlineStr">
        <is>
          <t>A</t>
        </is>
      </c>
      <c r="R8" s="4" t="inlineStr">
        <is>
          <t>C</t>
        </is>
      </c>
      <c r="S8" s="4" t="inlineStr">
        <is>
          <t>D</t>
        </is>
      </c>
      <c r="T8" s="4" t="inlineStr">
        <is>
          <t>B</t>
        </is>
      </c>
      <c r="U8" s="4" t="inlineStr">
        <is>
          <t>D</t>
        </is>
      </c>
      <c r="V8" s="4" t="inlineStr">
        <is>
          <t>A</t>
        </is>
      </c>
      <c r="W8" s="4" t="inlineStr">
        <is>
          <t>C</t>
        </is>
      </c>
      <c r="X8" s="4" t="inlineStr">
        <is>
          <t>B</t>
        </is>
      </c>
      <c r="Y8" s="4" t="inlineStr">
        <is>
          <t>A</t>
        </is>
      </c>
      <c r="Z8" s="4" t="inlineStr">
        <is>
          <t>C</t>
        </is>
      </c>
      <c r="AA8" s="4" t="inlineStr">
        <is>
          <t>B</t>
        </is>
      </c>
      <c r="AB8" s="4" t="inlineStr">
        <is>
          <t>B</t>
        </is>
      </c>
      <c r="AC8" s="4" t="inlineStr">
        <is>
          <t>C</t>
        </is>
      </c>
      <c r="AD8" s="4" t="inlineStr"/>
      <c r="AE8" s="4" t="inlineStr"/>
      <c r="AF8" s="4" t="inlineStr"/>
      <c r="AG8" s="4" t="inlineStr"/>
      <c r="AH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8" customWidth="1" min="24" max="24"/>
    <col width="12" customWidth="1" min="25" max="25"/>
    <col width="8" customWidth="1" min="26" max="26"/>
  </cols>
  <sheetData>
    <row r="1" ht="28" customHeight="1">
      <c r="A1" s="6" t="inlineStr">
        <is>
          <t>Student MCQ Responses — Science Chapter 5 Quiz (20 Questions)</t>
        </is>
      </c>
    </row>
    <row r="2">
      <c r="A2" s="2" t="inlineStr">
        <is>
          <t>Answer Key: Science_Ch5_Quiz  |  Correct answers shown in GREEN, wrong in RED</t>
        </is>
      </c>
    </row>
    <row r="3">
      <c r="A3" s="7" t="inlineStr">
        <is>
          <t>student_id</t>
        </is>
      </c>
      <c r="B3" s="7" t="inlineStr">
        <is>
          <t>student_name</t>
        </is>
      </c>
      <c r="C3" s="7" t="inlineStr">
        <is>
          <t>roll_no</t>
        </is>
      </c>
      <c r="D3" s="7" t="inlineStr">
        <is>
          <t>Q1</t>
        </is>
      </c>
      <c r="E3" s="7" t="inlineStr">
        <is>
          <t>Q2</t>
        </is>
      </c>
      <c r="F3" s="7" t="inlineStr">
        <is>
          <t>Q3</t>
        </is>
      </c>
      <c r="G3" s="7" t="inlineStr">
        <is>
          <t>Q4</t>
        </is>
      </c>
      <c r="H3" s="7" t="inlineStr">
        <is>
          <t>Q5</t>
        </is>
      </c>
      <c r="I3" s="7" t="inlineStr">
        <is>
          <t>Q6</t>
        </is>
      </c>
      <c r="J3" s="7" t="inlineStr">
        <is>
          <t>Q7</t>
        </is>
      </c>
      <c r="K3" s="7" t="inlineStr">
        <is>
          <t>Q8</t>
        </is>
      </c>
      <c r="L3" s="7" t="inlineStr">
        <is>
          <t>Q9</t>
        </is>
      </c>
      <c r="M3" s="7" t="inlineStr">
        <is>
          <t>Q10</t>
        </is>
      </c>
      <c r="N3" s="7" t="inlineStr">
        <is>
          <t>Q11</t>
        </is>
      </c>
      <c r="O3" s="7" t="inlineStr">
        <is>
          <t>Q12</t>
        </is>
      </c>
      <c r="P3" s="7" t="inlineStr">
        <is>
          <t>Q13</t>
        </is>
      </c>
      <c r="Q3" s="7" t="inlineStr">
        <is>
          <t>Q14</t>
        </is>
      </c>
      <c r="R3" s="7" t="inlineStr">
        <is>
          <t>Q15</t>
        </is>
      </c>
      <c r="S3" s="7" t="inlineStr">
        <is>
          <t>Q16</t>
        </is>
      </c>
      <c r="T3" s="7" t="inlineStr">
        <is>
          <t>Q17</t>
        </is>
      </c>
      <c r="U3" s="7" t="inlineStr">
        <is>
          <t>Q18</t>
        </is>
      </c>
      <c r="V3" s="7" t="inlineStr">
        <is>
          <t>Q19</t>
        </is>
      </c>
      <c r="W3" s="7" t="inlineStr">
        <is>
          <t>Q20</t>
        </is>
      </c>
      <c r="X3" s="7" t="inlineStr">
        <is>
          <t>score</t>
        </is>
      </c>
      <c r="Y3" s="7" t="inlineStr">
        <is>
          <t>percentage</t>
        </is>
      </c>
      <c r="Z3" s="7" t="inlineStr">
        <is>
          <t>grade</t>
        </is>
      </c>
    </row>
    <row r="4" ht="18" customHeight="1">
      <c r="A4" s="8" t="inlineStr">
        <is>
          <t>S001</t>
        </is>
      </c>
      <c r="B4" s="8" t="inlineStr">
        <is>
          <t>Aarav Shah</t>
        </is>
      </c>
      <c r="C4" s="8" t="n">
        <v>1</v>
      </c>
      <c r="D4" s="4" t="inlineStr">
        <is>
          <t>B</t>
        </is>
      </c>
      <c r="E4" s="4" t="inlineStr">
        <is>
          <t>A</t>
        </is>
      </c>
      <c r="F4" s="4" t="inlineStr">
        <is>
          <t>C</t>
        </is>
      </c>
      <c r="G4" s="4" t="inlineStr">
        <is>
          <t>D</t>
        </is>
      </c>
      <c r="H4" s="4" t="inlineStr">
        <is>
          <t>A</t>
        </is>
      </c>
      <c r="I4" s="9" t="inlineStr">
        <is>
          <t>B</t>
        </is>
      </c>
      <c r="J4" s="4" t="inlineStr">
        <is>
          <t>C</t>
        </is>
      </c>
      <c r="K4" s="4" t="inlineStr">
        <is>
          <t>C</t>
        </is>
      </c>
      <c r="L4" s="4" t="inlineStr">
        <is>
          <t>B</t>
        </is>
      </c>
      <c r="M4" s="4" t="inlineStr">
        <is>
          <t>A</t>
        </is>
      </c>
      <c r="N4" s="4" t="inlineStr">
        <is>
          <t>B</t>
        </is>
      </c>
      <c r="O4" s="4" t="inlineStr">
        <is>
          <t>A</t>
        </is>
      </c>
      <c r="P4" s="4" t="inlineStr">
        <is>
          <t>A</t>
        </is>
      </c>
      <c r="Q4" s="4" t="inlineStr">
        <is>
          <t>D</t>
        </is>
      </c>
      <c r="R4" s="4" t="inlineStr">
        <is>
          <t>A</t>
        </is>
      </c>
      <c r="S4" s="4" t="inlineStr">
        <is>
          <t>B</t>
        </is>
      </c>
      <c r="T4" s="4" t="inlineStr">
        <is>
          <t>B</t>
        </is>
      </c>
      <c r="U4" s="9" t="inlineStr">
        <is>
          <t>A</t>
        </is>
      </c>
      <c r="V4" s="4" t="inlineStr">
        <is>
          <t>B</t>
        </is>
      </c>
      <c r="W4" s="4" t="inlineStr">
        <is>
          <t>C</t>
        </is>
      </c>
      <c r="X4" s="8" t="n">
        <v>18</v>
      </c>
      <c r="Y4" s="8" t="n">
        <v>90</v>
      </c>
      <c r="Z4" s="8" t="inlineStr">
        <is>
          <t>A</t>
        </is>
      </c>
    </row>
    <row r="5" ht="18" customHeight="1">
      <c r="A5" s="5" t="inlineStr">
        <is>
          <t>S002</t>
        </is>
      </c>
      <c r="B5" s="5" t="inlineStr">
        <is>
          <t>Priya Patel</t>
        </is>
      </c>
      <c r="C5" s="5" t="n">
        <v>2</v>
      </c>
      <c r="D5" s="9" t="inlineStr">
        <is>
          <t>C</t>
        </is>
      </c>
      <c r="E5" s="4" t="inlineStr">
        <is>
          <t>A</t>
        </is>
      </c>
      <c r="F5" s="4" t="inlineStr">
        <is>
          <t>C</t>
        </is>
      </c>
      <c r="G5" s="4" t="inlineStr">
        <is>
          <t>D</t>
        </is>
      </c>
      <c r="H5" s="4" t="inlineStr">
        <is>
          <t>A</t>
        </is>
      </c>
      <c r="I5" s="4" t="inlineStr">
        <is>
          <t>A</t>
        </is>
      </c>
      <c r="J5" s="4" t="inlineStr">
        <is>
          <t>C</t>
        </is>
      </c>
      <c r="K5" s="4" t="inlineStr">
        <is>
          <t>C</t>
        </is>
      </c>
      <c r="L5" s="4" t="inlineStr">
        <is>
          <t>B</t>
        </is>
      </c>
      <c r="M5" s="9" t="inlineStr">
        <is>
          <t>B</t>
        </is>
      </c>
      <c r="N5" s="9" t="inlineStr">
        <is>
          <t>D</t>
        </is>
      </c>
      <c r="O5" s="9" t="inlineStr">
        <is>
          <t>C</t>
        </is>
      </c>
      <c r="P5" s="9" t="inlineStr">
        <is>
          <t>D</t>
        </is>
      </c>
      <c r="Q5" s="4" t="inlineStr">
        <is>
          <t>D</t>
        </is>
      </c>
      <c r="R5" s="9" t="inlineStr">
        <is>
          <t>C</t>
        </is>
      </c>
      <c r="S5" s="9" t="inlineStr">
        <is>
          <t>A</t>
        </is>
      </c>
      <c r="T5" s="9" t="inlineStr">
        <is>
          <t>C</t>
        </is>
      </c>
      <c r="U5" s="4" t="inlineStr">
        <is>
          <t>D</t>
        </is>
      </c>
      <c r="V5" s="9" t="inlineStr">
        <is>
          <t>C</t>
        </is>
      </c>
      <c r="W5" s="4" t="inlineStr">
        <is>
          <t>C</t>
        </is>
      </c>
      <c r="X5" s="5" t="n">
        <v>11</v>
      </c>
      <c r="Y5" s="5" t="n">
        <v>55</v>
      </c>
      <c r="Z5" s="5" t="inlineStr">
        <is>
          <t>C</t>
        </is>
      </c>
    </row>
    <row r="6" ht="18" customHeight="1">
      <c r="A6" s="8" t="inlineStr">
        <is>
          <t>S003</t>
        </is>
      </c>
      <c r="B6" s="8" t="inlineStr">
        <is>
          <t>Rohan Mehta</t>
        </is>
      </c>
      <c r="C6" s="8" t="n">
        <v>3</v>
      </c>
      <c r="D6" s="9" t="inlineStr">
        <is>
          <t>D</t>
        </is>
      </c>
      <c r="E6" s="9" t="inlineStr">
        <is>
          <t>D</t>
        </is>
      </c>
      <c r="F6" s="4" t="inlineStr">
        <is>
          <t>C</t>
        </is>
      </c>
      <c r="G6" s="9" t="inlineStr">
        <is>
          <t>C</t>
        </is>
      </c>
      <c r="H6" s="9" t="inlineStr">
        <is>
          <t>B</t>
        </is>
      </c>
      <c r="I6" s="4" t="inlineStr">
        <is>
          <t>A</t>
        </is>
      </c>
      <c r="J6" s="4" t="inlineStr">
        <is>
          <t>C</t>
        </is>
      </c>
      <c r="K6" s="9" t="inlineStr">
        <is>
          <t>D</t>
        </is>
      </c>
      <c r="L6" s="4" t="inlineStr">
        <is>
          <t>B</t>
        </is>
      </c>
      <c r="M6" s="9" t="inlineStr">
        <is>
          <t>B</t>
        </is>
      </c>
      <c r="N6" s="4" t="inlineStr">
        <is>
          <t>B</t>
        </is>
      </c>
      <c r="O6" s="4" t="inlineStr">
        <is>
          <t>A</t>
        </is>
      </c>
      <c r="P6" s="4" t="inlineStr">
        <is>
          <t>A</t>
        </is>
      </c>
      <c r="Q6" s="4" t="inlineStr">
        <is>
          <t>D</t>
        </is>
      </c>
      <c r="R6" s="4" t="inlineStr">
        <is>
          <t>A</t>
        </is>
      </c>
      <c r="S6" s="9" t="inlineStr">
        <is>
          <t>D</t>
        </is>
      </c>
      <c r="T6" s="4" t="inlineStr">
        <is>
          <t>B</t>
        </is>
      </c>
      <c r="U6" s="9" t="inlineStr">
        <is>
          <t>B</t>
        </is>
      </c>
      <c r="V6" s="9" t="inlineStr">
        <is>
          <t>D</t>
        </is>
      </c>
      <c r="W6" s="4" t="inlineStr">
        <is>
          <t>C</t>
        </is>
      </c>
      <c r="X6" s="8" t="n">
        <v>11</v>
      </c>
      <c r="Y6" s="8" t="n">
        <v>55</v>
      </c>
      <c r="Z6" s="8" t="inlineStr">
        <is>
          <t>C</t>
        </is>
      </c>
    </row>
    <row r="7" ht="18" customHeight="1">
      <c r="A7" s="5" t="inlineStr">
        <is>
          <t>S004</t>
        </is>
      </c>
      <c r="B7" s="5" t="inlineStr">
        <is>
          <t>Ananya Gupta</t>
        </is>
      </c>
      <c r="C7" s="5" t="n">
        <v>4</v>
      </c>
      <c r="D7" s="4" t="inlineStr">
        <is>
          <t>B</t>
        </is>
      </c>
      <c r="E7" s="4" t="inlineStr">
        <is>
          <t>A</t>
        </is>
      </c>
      <c r="F7" s="4" t="inlineStr">
        <is>
          <t>C</t>
        </is>
      </c>
      <c r="G7" s="9" t="inlineStr">
        <is>
          <t>C</t>
        </is>
      </c>
      <c r="H7" s="4" t="inlineStr">
        <is>
          <t>A</t>
        </is>
      </c>
      <c r="I7" s="4" t="inlineStr">
        <is>
          <t>A</t>
        </is>
      </c>
      <c r="J7" s="9" t="inlineStr">
        <is>
          <t>D</t>
        </is>
      </c>
      <c r="K7" s="4" t="inlineStr">
        <is>
          <t>C</t>
        </is>
      </c>
      <c r="L7" s="9" t="inlineStr">
        <is>
          <t>A</t>
        </is>
      </c>
      <c r="M7" s="4" t="inlineStr">
        <is>
          <t>A</t>
        </is>
      </c>
      <c r="N7" s="4" t="inlineStr">
        <is>
          <t>B</t>
        </is>
      </c>
      <c r="O7" s="9" t="inlineStr">
        <is>
          <t>D</t>
        </is>
      </c>
      <c r="P7" s="4" t="inlineStr">
        <is>
          <t>A</t>
        </is>
      </c>
      <c r="Q7" s="4" t="inlineStr">
        <is>
          <t>D</t>
        </is>
      </c>
      <c r="R7" s="9" t="inlineStr">
        <is>
          <t>D</t>
        </is>
      </c>
      <c r="S7" s="4" t="inlineStr">
        <is>
          <t>B</t>
        </is>
      </c>
      <c r="T7" s="4" t="inlineStr">
        <is>
          <t>B</t>
        </is>
      </c>
      <c r="U7" s="9" t="inlineStr">
        <is>
          <t>C</t>
        </is>
      </c>
      <c r="V7" s="9" t="inlineStr">
        <is>
          <t>D</t>
        </is>
      </c>
      <c r="W7" s="9" t="inlineStr">
        <is>
          <t>B</t>
        </is>
      </c>
      <c r="X7" s="5" t="n">
        <v>12</v>
      </c>
      <c r="Y7" s="5" t="n">
        <v>60</v>
      </c>
      <c r="Z7" s="5" t="inlineStr">
        <is>
          <t>C</t>
        </is>
      </c>
    </row>
    <row r="8" ht="18" customHeight="1">
      <c r="A8" s="8" t="inlineStr">
        <is>
          <t>S005</t>
        </is>
      </c>
      <c r="B8" s="8" t="inlineStr">
        <is>
          <t>Vikram Singh</t>
        </is>
      </c>
      <c r="C8" s="8" t="n">
        <v>5</v>
      </c>
      <c r="D8" s="4" t="inlineStr">
        <is>
          <t>B</t>
        </is>
      </c>
      <c r="E8" s="4" t="inlineStr">
        <is>
          <t>A</t>
        </is>
      </c>
      <c r="F8" s="4" t="inlineStr">
        <is>
          <t>C</t>
        </is>
      </c>
      <c r="G8" s="4" t="inlineStr">
        <is>
          <t>D</t>
        </is>
      </c>
      <c r="H8" s="4" t="inlineStr">
        <is>
          <t>A</t>
        </is>
      </c>
      <c r="I8" s="4" t="inlineStr">
        <is>
          <t>A</t>
        </is>
      </c>
      <c r="J8" s="9" t="inlineStr">
        <is>
          <t>A</t>
        </is>
      </c>
      <c r="K8" s="4" t="inlineStr">
        <is>
          <t>C</t>
        </is>
      </c>
      <c r="L8" s="4" t="inlineStr">
        <is>
          <t>B</t>
        </is>
      </c>
      <c r="M8" s="4" t="inlineStr">
        <is>
          <t>A</t>
        </is>
      </c>
      <c r="N8" s="9" t="inlineStr">
        <is>
          <t>D</t>
        </is>
      </c>
      <c r="O8" s="4" t="inlineStr">
        <is>
          <t>A</t>
        </is>
      </c>
      <c r="P8" s="4" t="inlineStr">
        <is>
          <t>A</t>
        </is>
      </c>
      <c r="Q8" s="4" t="inlineStr">
        <is>
          <t>D</t>
        </is>
      </c>
      <c r="R8" s="4" t="inlineStr">
        <is>
          <t>A</t>
        </is>
      </c>
      <c r="S8" s="4" t="inlineStr">
        <is>
          <t>B</t>
        </is>
      </c>
      <c r="T8" s="4" t="inlineStr">
        <is>
          <t>B</t>
        </is>
      </c>
      <c r="U8" s="4" t="inlineStr">
        <is>
          <t>D</t>
        </is>
      </c>
      <c r="V8" s="4" t="inlineStr">
        <is>
          <t>B</t>
        </is>
      </c>
      <c r="W8" s="4" t="inlineStr">
        <is>
          <t>C</t>
        </is>
      </c>
      <c r="X8" s="8" t="n">
        <v>18</v>
      </c>
      <c r="Y8" s="8" t="n">
        <v>90</v>
      </c>
      <c r="Z8" s="8" t="inlineStr">
        <is>
          <t>A</t>
        </is>
      </c>
    </row>
    <row r="9" ht="18" customHeight="1">
      <c r="A9" s="5" t="inlineStr">
        <is>
          <t>S006</t>
        </is>
      </c>
      <c r="B9" s="5" t="inlineStr">
        <is>
          <t>Sneha Joshi</t>
        </is>
      </c>
      <c r="C9" s="5" t="n">
        <v>6</v>
      </c>
      <c r="D9" s="4" t="inlineStr">
        <is>
          <t>B</t>
        </is>
      </c>
      <c r="E9" s="4" t="inlineStr">
        <is>
          <t>A</t>
        </is>
      </c>
      <c r="F9" s="4" t="inlineStr">
        <is>
          <t>C</t>
        </is>
      </c>
      <c r="G9" s="4" t="inlineStr">
        <is>
          <t>D</t>
        </is>
      </c>
      <c r="H9" s="4" t="inlineStr">
        <is>
          <t>A</t>
        </is>
      </c>
      <c r="I9" s="9" t="inlineStr">
        <is>
          <t>B</t>
        </is>
      </c>
      <c r="J9" s="4" t="inlineStr">
        <is>
          <t>C</t>
        </is>
      </c>
      <c r="K9" s="4" t="inlineStr">
        <is>
          <t>C</t>
        </is>
      </c>
      <c r="L9" s="9" t="inlineStr">
        <is>
          <t>D</t>
        </is>
      </c>
      <c r="M9" s="4" t="inlineStr">
        <is>
          <t>A</t>
        </is>
      </c>
      <c r="N9" s="4" t="inlineStr">
        <is>
          <t>B</t>
        </is>
      </c>
      <c r="O9" s="4" t="inlineStr">
        <is>
          <t>A</t>
        </is>
      </c>
      <c r="P9" s="4" t="inlineStr">
        <is>
          <t>A</t>
        </is>
      </c>
      <c r="Q9" s="4" t="inlineStr">
        <is>
          <t>D</t>
        </is>
      </c>
      <c r="R9" s="4" t="inlineStr">
        <is>
          <t>A</t>
        </is>
      </c>
      <c r="S9" s="4" t="inlineStr">
        <is>
          <t>B</t>
        </is>
      </c>
      <c r="T9" s="4" t="inlineStr">
        <is>
          <t>B</t>
        </is>
      </c>
      <c r="U9" s="4" t="inlineStr">
        <is>
          <t>D</t>
        </is>
      </c>
      <c r="V9" s="4" t="inlineStr">
        <is>
          <t>B</t>
        </is>
      </c>
      <c r="W9" s="4" t="inlineStr">
        <is>
          <t>C</t>
        </is>
      </c>
      <c r="X9" s="5" t="n">
        <v>18</v>
      </c>
      <c r="Y9" s="5" t="n">
        <v>90</v>
      </c>
      <c r="Z9" s="5" t="inlineStr">
        <is>
          <t>A</t>
        </is>
      </c>
    </row>
    <row r="10" ht="18" customHeight="1">
      <c r="A10" s="8" t="inlineStr">
        <is>
          <t>S007</t>
        </is>
      </c>
      <c r="B10" s="8" t="inlineStr">
        <is>
          <t>Arjun Kumar</t>
        </is>
      </c>
      <c r="C10" s="8" t="n">
        <v>7</v>
      </c>
      <c r="D10" s="9" t="inlineStr">
        <is>
          <t>D</t>
        </is>
      </c>
      <c r="E10" s="4" t="inlineStr">
        <is>
          <t>A</t>
        </is>
      </c>
      <c r="F10" s="9" t="inlineStr">
        <is>
          <t>B</t>
        </is>
      </c>
      <c r="G10" s="4" t="inlineStr">
        <is>
          <t>D</t>
        </is>
      </c>
      <c r="H10" s="4" t="inlineStr">
        <is>
          <t>A</t>
        </is>
      </c>
      <c r="I10" s="4" t="inlineStr">
        <is>
          <t>A</t>
        </is>
      </c>
      <c r="J10" s="4" t="inlineStr">
        <is>
          <t>C</t>
        </is>
      </c>
      <c r="K10" s="4" t="inlineStr">
        <is>
          <t>C</t>
        </is>
      </c>
      <c r="L10" s="4" t="inlineStr">
        <is>
          <t>B</t>
        </is>
      </c>
      <c r="M10" s="4" t="inlineStr">
        <is>
          <t>A</t>
        </is>
      </c>
      <c r="N10" s="9" t="inlineStr">
        <is>
          <t>A</t>
        </is>
      </c>
      <c r="O10" s="4" t="inlineStr">
        <is>
          <t>A</t>
        </is>
      </c>
      <c r="P10" s="4" t="inlineStr">
        <is>
          <t>A</t>
        </is>
      </c>
      <c r="Q10" s="4" t="inlineStr">
        <is>
          <t>D</t>
        </is>
      </c>
      <c r="R10" s="4" t="inlineStr">
        <is>
          <t>A</t>
        </is>
      </c>
      <c r="S10" s="4" t="inlineStr">
        <is>
          <t>B</t>
        </is>
      </c>
      <c r="T10" s="4" t="inlineStr">
        <is>
          <t>B</t>
        </is>
      </c>
      <c r="U10" s="4" t="inlineStr">
        <is>
          <t>D</t>
        </is>
      </c>
      <c r="V10" s="9" t="inlineStr">
        <is>
          <t>D</t>
        </is>
      </c>
      <c r="W10" s="4" t="inlineStr">
        <is>
          <t>C</t>
        </is>
      </c>
      <c r="X10" s="8" t="n">
        <v>16</v>
      </c>
      <c r="Y10" s="8" t="n">
        <v>80</v>
      </c>
      <c r="Z10" s="8" t="inlineStr">
        <is>
          <t>A</t>
        </is>
      </c>
    </row>
    <row r="11" ht="18" customHeight="1">
      <c r="A11" s="5" t="inlineStr">
        <is>
          <t>S008</t>
        </is>
      </c>
      <c r="B11" s="5" t="inlineStr">
        <is>
          <t>Neha Sharma</t>
        </is>
      </c>
      <c r="C11" s="5" t="n">
        <v>8</v>
      </c>
      <c r="D11" s="4" t="inlineStr">
        <is>
          <t>B</t>
        </is>
      </c>
      <c r="E11" s="4" t="inlineStr">
        <is>
          <t>A</t>
        </is>
      </c>
      <c r="F11" s="4" t="inlineStr">
        <is>
          <t>C</t>
        </is>
      </c>
      <c r="G11" s="9" t="inlineStr">
        <is>
          <t>B</t>
        </is>
      </c>
      <c r="H11" s="4" t="inlineStr">
        <is>
          <t>A</t>
        </is>
      </c>
      <c r="I11" s="4" t="inlineStr">
        <is>
          <t>A</t>
        </is>
      </c>
      <c r="J11" s="9" t="inlineStr">
        <is>
          <t>D</t>
        </is>
      </c>
      <c r="K11" s="9" t="inlineStr">
        <is>
          <t>D</t>
        </is>
      </c>
      <c r="L11" s="4" t="inlineStr">
        <is>
          <t>B</t>
        </is>
      </c>
      <c r="M11" s="4" t="inlineStr">
        <is>
          <t>A</t>
        </is>
      </c>
      <c r="N11" s="4" t="inlineStr">
        <is>
          <t>B</t>
        </is>
      </c>
      <c r="O11" s="9" t="inlineStr">
        <is>
          <t>B</t>
        </is>
      </c>
      <c r="P11" s="4" t="inlineStr">
        <is>
          <t>A</t>
        </is>
      </c>
      <c r="Q11" s="4" t="inlineStr">
        <is>
          <t>D</t>
        </is>
      </c>
      <c r="R11" s="4" t="inlineStr">
        <is>
          <t>A</t>
        </is>
      </c>
      <c r="S11" s="4" t="inlineStr">
        <is>
          <t>B</t>
        </is>
      </c>
      <c r="T11" s="4" t="inlineStr">
        <is>
          <t>B</t>
        </is>
      </c>
      <c r="U11" s="9" t="inlineStr">
        <is>
          <t>A</t>
        </is>
      </c>
      <c r="V11" s="4" t="inlineStr">
        <is>
          <t>B</t>
        </is>
      </c>
      <c r="W11" s="9" t="inlineStr">
        <is>
          <t>D</t>
        </is>
      </c>
      <c r="X11" s="5" t="n">
        <v>14</v>
      </c>
      <c r="Y11" s="5" t="n">
        <v>70</v>
      </c>
      <c r="Z11" s="5" t="inlineStr">
        <is>
          <t>B</t>
        </is>
      </c>
    </row>
    <row r="12" ht="18" customHeight="1">
      <c r="A12" s="8" t="inlineStr">
        <is>
          <t>S009</t>
        </is>
      </c>
      <c r="B12" s="8" t="inlineStr">
        <is>
          <t>Rahul Verma</t>
        </is>
      </c>
      <c r="C12" s="8" t="n">
        <v>9</v>
      </c>
      <c r="D12" s="9" t="inlineStr">
        <is>
          <t>D</t>
        </is>
      </c>
      <c r="E12" s="9" t="inlineStr">
        <is>
          <t>B</t>
        </is>
      </c>
      <c r="F12" s="9" t="inlineStr">
        <is>
          <t>A</t>
        </is>
      </c>
      <c r="G12" s="4" t="inlineStr">
        <is>
          <t>D</t>
        </is>
      </c>
      <c r="H12" s="4" t="inlineStr">
        <is>
          <t>A</t>
        </is>
      </c>
      <c r="I12" s="4" t="inlineStr">
        <is>
          <t>A</t>
        </is>
      </c>
      <c r="J12" s="4" t="inlineStr">
        <is>
          <t>C</t>
        </is>
      </c>
      <c r="K12" s="4" t="inlineStr">
        <is>
          <t>C</t>
        </is>
      </c>
      <c r="L12" s="4" t="inlineStr">
        <is>
          <t>B</t>
        </is>
      </c>
      <c r="M12" s="9" t="inlineStr">
        <is>
          <t>C</t>
        </is>
      </c>
      <c r="N12" s="9" t="inlineStr">
        <is>
          <t>C</t>
        </is>
      </c>
      <c r="O12" s="4" t="inlineStr">
        <is>
          <t>A</t>
        </is>
      </c>
      <c r="P12" s="9" t="inlineStr">
        <is>
          <t>D</t>
        </is>
      </c>
      <c r="Q12" s="9" t="inlineStr">
        <is>
          <t>C</t>
        </is>
      </c>
      <c r="R12" s="9" t="inlineStr">
        <is>
          <t>C</t>
        </is>
      </c>
      <c r="S12" s="4" t="inlineStr">
        <is>
          <t>B</t>
        </is>
      </c>
      <c r="T12" s="4" t="inlineStr">
        <is>
          <t>B</t>
        </is>
      </c>
      <c r="U12" s="9" t="inlineStr">
        <is>
          <t>C</t>
        </is>
      </c>
      <c r="V12" s="9" t="inlineStr">
        <is>
          <t>A</t>
        </is>
      </c>
      <c r="W12" s="9" t="inlineStr">
        <is>
          <t>A</t>
        </is>
      </c>
      <c r="X12" s="8" t="n">
        <v>9</v>
      </c>
      <c r="Y12" s="8" t="n">
        <v>45</v>
      </c>
      <c r="Z12" s="8" t="inlineStr">
        <is>
          <t>D</t>
        </is>
      </c>
    </row>
    <row r="13" ht="18" customHeight="1">
      <c r="A13" s="5" t="inlineStr">
        <is>
          <t>S010</t>
        </is>
      </c>
      <c r="B13" s="5" t="inlineStr">
        <is>
          <t>Pooja Yadav</t>
        </is>
      </c>
      <c r="C13" s="5" t="n">
        <v>10</v>
      </c>
      <c r="D13" s="9" t="inlineStr">
        <is>
          <t>D</t>
        </is>
      </c>
      <c r="E13" s="4" t="inlineStr">
        <is>
          <t>A</t>
        </is>
      </c>
      <c r="F13" s="9" t="inlineStr">
        <is>
          <t>A</t>
        </is>
      </c>
      <c r="G13" s="9" t="inlineStr">
        <is>
          <t>A</t>
        </is>
      </c>
      <c r="H13" s="9" t="inlineStr">
        <is>
          <t>D</t>
        </is>
      </c>
      <c r="I13" s="9" t="inlineStr">
        <is>
          <t>C</t>
        </is>
      </c>
      <c r="J13" s="4" t="inlineStr">
        <is>
          <t>C</t>
        </is>
      </c>
      <c r="K13" s="9" t="inlineStr">
        <is>
          <t>A</t>
        </is>
      </c>
      <c r="L13" s="9" t="inlineStr">
        <is>
          <t>A</t>
        </is>
      </c>
      <c r="M13" s="9" t="inlineStr">
        <is>
          <t>C</t>
        </is>
      </c>
      <c r="N13" s="9" t="inlineStr">
        <is>
          <t>D</t>
        </is>
      </c>
      <c r="O13" s="9" t="inlineStr">
        <is>
          <t>C</t>
        </is>
      </c>
      <c r="P13" s="4" t="inlineStr">
        <is>
          <t>A</t>
        </is>
      </c>
      <c r="Q13" s="9" t="inlineStr">
        <is>
          <t>A</t>
        </is>
      </c>
      <c r="R13" s="4" t="inlineStr">
        <is>
          <t>A</t>
        </is>
      </c>
      <c r="S13" s="4" t="inlineStr">
        <is>
          <t>B</t>
        </is>
      </c>
      <c r="T13" s="9" t="inlineStr">
        <is>
          <t>C</t>
        </is>
      </c>
      <c r="U13" s="4" t="inlineStr">
        <is>
          <t>D</t>
        </is>
      </c>
      <c r="V13" s="9" t="inlineStr">
        <is>
          <t>A</t>
        </is>
      </c>
      <c r="W13" s="4" t="inlineStr">
        <is>
          <t>C</t>
        </is>
      </c>
      <c r="X13" s="5" t="n">
        <v>7</v>
      </c>
      <c r="Y13" s="5" t="n">
        <v>35</v>
      </c>
      <c r="Z13" s="5" t="inlineStr">
        <is>
          <t>D</t>
        </is>
      </c>
    </row>
    <row r="14" ht="18" customHeight="1">
      <c r="A14" s="8" t="inlineStr">
        <is>
          <t>S011</t>
        </is>
      </c>
      <c r="B14" s="8" t="inlineStr">
        <is>
          <t>Amit Mishra</t>
        </is>
      </c>
      <c r="C14" s="8" t="n">
        <v>11</v>
      </c>
      <c r="D14" s="4" t="inlineStr">
        <is>
          <t>B</t>
        </is>
      </c>
      <c r="E14" s="4" t="inlineStr">
        <is>
          <t>A</t>
        </is>
      </c>
      <c r="F14" s="4" t="inlineStr">
        <is>
          <t>C</t>
        </is>
      </c>
      <c r="G14" s="4" t="inlineStr">
        <is>
          <t>D</t>
        </is>
      </c>
      <c r="H14" s="4" t="inlineStr">
        <is>
          <t>A</t>
        </is>
      </c>
      <c r="I14" s="4" t="inlineStr">
        <is>
          <t>A</t>
        </is>
      </c>
      <c r="J14" s="4" t="inlineStr">
        <is>
          <t>C</t>
        </is>
      </c>
      <c r="K14" s="4" t="inlineStr">
        <is>
          <t>C</t>
        </is>
      </c>
      <c r="L14" s="4" t="inlineStr">
        <is>
          <t>B</t>
        </is>
      </c>
      <c r="M14" s="4" t="inlineStr">
        <is>
          <t>A</t>
        </is>
      </c>
      <c r="N14" s="4" t="inlineStr">
        <is>
          <t>B</t>
        </is>
      </c>
      <c r="O14" s="4" t="inlineStr">
        <is>
          <t>A</t>
        </is>
      </c>
      <c r="P14" s="9" t="inlineStr">
        <is>
          <t>D</t>
        </is>
      </c>
      <c r="Q14" s="4" t="inlineStr">
        <is>
          <t>D</t>
        </is>
      </c>
      <c r="R14" s="4" t="inlineStr">
        <is>
          <t>A</t>
        </is>
      </c>
      <c r="S14" s="4" t="inlineStr">
        <is>
          <t>B</t>
        </is>
      </c>
      <c r="T14" s="9" t="inlineStr">
        <is>
          <t>A</t>
        </is>
      </c>
      <c r="U14" s="9" t="inlineStr">
        <is>
          <t>A</t>
        </is>
      </c>
      <c r="V14" s="4" t="inlineStr">
        <is>
          <t>B</t>
        </is>
      </c>
      <c r="W14" s="9" t="inlineStr">
        <is>
          <t>D</t>
        </is>
      </c>
      <c r="X14" s="8" t="n">
        <v>16</v>
      </c>
      <c r="Y14" s="8" t="n">
        <v>80</v>
      </c>
      <c r="Z14" s="8" t="inlineStr">
        <is>
          <t>A</t>
        </is>
      </c>
    </row>
    <row r="15" ht="18" customHeight="1">
      <c r="A15" s="5" t="inlineStr">
        <is>
          <t>S012</t>
        </is>
      </c>
      <c r="B15" s="5" t="inlineStr">
        <is>
          <t>Kavya Nair</t>
        </is>
      </c>
      <c r="C15" s="5" t="n">
        <v>12</v>
      </c>
      <c r="D15" s="4" t="inlineStr">
        <is>
          <t>B</t>
        </is>
      </c>
      <c r="E15" s="4" t="inlineStr">
        <is>
          <t>A</t>
        </is>
      </c>
      <c r="F15" s="4" t="inlineStr">
        <is>
          <t>C</t>
        </is>
      </c>
      <c r="G15" s="4" t="inlineStr">
        <is>
          <t>D</t>
        </is>
      </c>
      <c r="H15" s="4" t="inlineStr">
        <is>
          <t>A</t>
        </is>
      </c>
      <c r="I15" s="4" t="inlineStr">
        <is>
          <t>A</t>
        </is>
      </c>
      <c r="J15" s="4" t="inlineStr">
        <is>
          <t>C</t>
        </is>
      </c>
      <c r="K15" s="9" t="inlineStr">
        <is>
          <t>A</t>
        </is>
      </c>
      <c r="L15" s="4" t="inlineStr">
        <is>
          <t>B</t>
        </is>
      </c>
      <c r="M15" s="4" t="inlineStr">
        <is>
          <t>A</t>
        </is>
      </c>
      <c r="N15" s="4" t="inlineStr">
        <is>
          <t>B</t>
        </is>
      </c>
      <c r="O15" s="4" t="inlineStr">
        <is>
          <t>A</t>
        </is>
      </c>
      <c r="P15" s="9" t="inlineStr">
        <is>
          <t>D</t>
        </is>
      </c>
      <c r="Q15" s="9" t="inlineStr">
        <is>
          <t>A</t>
        </is>
      </c>
      <c r="R15" s="9" t="inlineStr">
        <is>
          <t>D</t>
        </is>
      </c>
      <c r="S15" s="4" t="inlineStr">
        <is>
          <t>B</t>
        </is>
      </c>
      <c r="T15" s="4" t="inlineStr">
        <is>
          <t>B</t>
        </is>
      </c>
      <c r="U15" s="4" t="inlineStr">
        <is>
          <t>D</t>
        </is>
      </c>
      <c r="V15" s="9" t="inlineStr">
        <is>
          <t>D</t>
        </is>
      </c>
      <c r="W15" s="9" t="inlineStr">
        <is>
          <t>D</t>
        </is>
      </c>
      <c r="X15" s="5" t="n">
        <v>14</v>
      </c>
      <c r="Y15" s="5" t="n">
        <v>70</v>
      </c>
      <c r="Z15" s="5" t="inlineStr">
        <is>
          <t>B</t>
        </is>
      </c>
    </row>
    <row r="16" ht="18" customHeight="1">
      <c r="A16" s="8" t="inlineStr">
        <is>
          <t>S013</t>
        </is>
      </c>
      <c r="B16" s="8" t="inlineStr">
        <is>
          <t>Suresh Reddy</t>
        </is>
      </c>
      <c r="C16" s="8" t="n">
        <v>13</v>
      </c>
      <c r="D16" s="4" t="inlineStr">
        <is>
          <t>B</t>
        </is>
      </c>
      <c r="E16" s="9" t="inlineStr">
        <is>
          <t>C</t>
        </is>
      </c>
      <c r="F16" s="4" t="inlineStr">
        <is>
          <t>C</t>
        </is>
      </c>
      <c r="G16" s="4" t="inlineStr">
        <is>
          <t>D</t>
        </is>
      </c>
      <c r="H16" s="9" t="inlineStr">
        <is>
          <t>B</t>
        </is>
      </c>
      <c r="I16" s="9" t="inlineStr">
        <is>
          <t>B</t>
        </is>
      </c>
      <c r="J16" s="9" t="inlineStr">
        <is>
          <t>D</t>
        </is>
      </c>
      <c r="K16" s="4" t="inlineStr">
        <is>
          <t>C</t>
        </is>
      </c>
      <c r="L16" s="9" t="inlineStr">
        <is>
          <t>C</t>
        </is>
      </c>
      <c r="M16" s="9" t="inlineStr">
        <is>
          <t>D</t>
        </is>
      </c>
      <c r="N16" s="4" t="inlineStr">
        <is>
          <t>B</t>
        </is>
      </c>
      <c r="O16" s="9" t="inlineStr">
        <is>
          <t>B</t>
        </is>
      </c>
      <c r="P16" s="9" t="inlineStr">
        <is>
          <t>B</t>
        </is>
      </c>
      <c r="Q16" s="9" t="inlineStr">
        <is>
          <t>A</t>
        </is>
      </c>
      <c r="R16" s="4" t="inlineStr">
        <is>
          <t>A</t>
        </is>
      </c>
      <c r="S16" s="9" t="inlineStr">
        <is>
          <t>C</t>
        </is>
      </c>
      <c r="T16" s="9" t="inlineStr">
        <is>
          <t>D</t>
        </is>
      </c>
      <c r="U16" s="9" t="inlineStr">
        <is>
          <t>B</t>
        </is>
      </c>
      <c r="V16" s="4" t="inlineStr">
        <is>
          <t>B</t>
        </is>
      </c>
      <c r="W16" s="9" t="inlineStr">
        <is>
          <t>B</t>
        </is>
      </c>
      <c r="X16" s="8" t="n">
        <v>7</v>
      </c>
      <c r="Y16" s="8" t="n">
        <v>35</v>
      </c>
      <c r="Z16" s="8" t="inlineStr">
        <is>
          <t>D</t>
        </is>
      </c>
    </row>
    <row r="17" ht="18" customHeight="1">
      <c r="A17" s="5" t="inlineStr">
        <is>
          <t>S014</t>
        </is>
      </c>
      <c r="B17" s="5" t="inlineStr">
        <is>
          <t>Meera Iyer</t>
        </is>
      </c>
      <c r="C17" s="5" t="n">
        <v>14</v>
      </c>
      <c r="D17" s="4" t="inlineStr">
        <is>
          <t>B</t>
        </is>
      </c>
      <c r="E17" s="4" t="inlineStr">
        <is>
          <t>A</t>
        </is>
      </c>
      <c r="F17" s="4" t="inlineStr">
        <is>
          <t>C</t>
        </is>
      </c>
      <c r="G17" s="4" t="inlineStr">
        <is>
          <t>D</t>
        </is>
      </c>
      <c r="H17" s="4" t="inlineStr">
        <is>
          <t>A</t>
        </is>
      </c>
      <c r="I17" s="4" t="inlineStr">
        <is>
          <t>A</t>
        </is>
      </c>
      <c r="J17" s="4" t="inlineStr">
        <is>
          <t>C</t>
        </is>
      </c>
      <c r="K17" s="4" t="inlineStr">
        <is>
          <t>C</t>
        </is>
      </c>
      <c r="L17" s="4" t="inlineStr">
        <is>
          <t>B</t>
        </is>
      </c>
      <c r="M17" s="4" t="inlineStr">
        <is>
          <t>A</t>
        </is>
      </c>
      <c r="N17" s="4" t="inlineStr">
        <is>
          <t>B</t>
        </is>
      </c>
      <c r="O17" s="9" t="inlineStr">
        <is>
          <t>C</t>
        </is>
      </c>
      <c r="P17" s="4" t="inlineStr">
        <is>
          <t>A</t>
        </is>
      </c>
      <c r="Q17" s="4" t="inlineStr">
        <is>
          <t>D</t>
        </is>
      </c>
      <c r="R17" s="4" t="inlineStr">
        <is>
          <t>A</t>
        </is>
      </c>
      <c r="S17" s="4" t="inlineStr">
        <is>
          <t>B</t>
        </is>
      </c>
      <c r="T17" s="4" t="inlineStr">
        <is>
          <t>B</t>
        </is>
      </c>
      <c r="U17" s="4" t="inlineStr">
        <is>
          <t>D</t>
        </is>
      </c>
      <c r="V17" s="4" t="inlineStr">
        <is>
          <t>B</t>
        </is>
      </c>
      <c r="W17" s="4" t="inlineStr">
        <is>
          <t>C</t>
        </is>
      </c>
      <c r="X17" s="5" t="n">
        <v>19</v>
      </c>
      <c r="Y17" s="5" t="n">
        <v>95</v>
      </c>
      <c r="Z17" s="5" t="inlineStr">
        <is>
          <t>A</t>
        </is>
      </c>
    </row>
    <row r="18" ht="18" customHeight="1">
      <c r="A18" s="8" t="inlineStr">
        <is>
          <t>S015</t>
        </is>
      </c>
      <c r="B18" s="8" t="inlineStr">
        <is>
          <t>Kiran Rao</t>
        </is>
      </c>
      <c r="C18" s="8" t="n">
        <v>15</v>
      </c>
      <c r="D18" s="9" t="inlineStr">
        <is>
          <t>A</t>
        </is>
      </c>
      <c r="E18" s="4" t="inlineStr">
        <is>
          <t>A</t>
        </is>
      </c>
      <c r="F18" s="4" t="inlineStr">
        <is>
          <t>C</t>
        </is>
      </c>
      <c r="G18" s="4" t="inlineStr">
        <is>
          <t>D</t>
        </is>
      </c>
      <c r="H18" s="4" t="inlineStr">
        <is>
          <t>A</t>
        </is>
      </c>
      <c r="I18" s="4" t="inlineStr">
        <is>
          <t>A</t>
        </is>
      </c>
      <c r="J18" s="4" t="inlineStr">
        <is>
          <t>C</t>
        </is>
      </c>
      <c r="K18" s="4" t="inlineStr">
        <is>
          <t>C</t>
        </is>
      </c>
      <c r="L18" s="4" t="inlineStr">
        <is>
          <t>B</t>
        </is>
      </c>
      <c r="M18" s="4" t="inlineStr">
        <is>
          <t>A</t>
        </is>
      </c>
      <c r="N18" s="4" t="inlineStr">
        <is>
          <t>B</t>
        </is>
      </c>
      <c r="O18" s="4" t="inlineStr">
        <is>
          <t>A</t>
        </is>
      </c>
      <c r="P18" s="9" t="inlineStr">
        <is>
          <t>D</t>
        </is>
      </c>
      <c r="Q18" s="4" t="inlineStr">
        <is>
          <t>D</t>
        </is>
      </c>
      <c r="R18" s="9" t="inlineStr">
        <is>
          <t>D</t>
        </is>
      </c>
      <c r="S18" s="4" t="inlineStr">
        <is>
          <t>B</t>
        </is>
      </c>
      <c r="T18" s="4" t="inlineStr">
        <is>
          <t>B</t>
        </is>
      </c>
      <c r="U18" s="4" t="inlineStr">
        <is>
          <t>D</t>
        </is>
      </c>
      <c r="V18" s="4" t="inlineStr">
        <is>
          <t>B</t>
        </is>
      </c>
      <c r="W18" s="4" t="inlineStr">
        <is>
          <t>C</t>
        </is>
      </c>
      <c r="X18" s="8" t="n">
        <v>17</v>
      </c>
      <c r="Y18" s="8" t="n">
        <v>85</v>
      </c>
      <c r="Z18" s="8" t="inlineStr">
        <is>
          <t>A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8" customWidth="1" min="4" max="4"/>
    <col width="22" customWidth="1" min="5" max="5"/>
    <col width="20" customWidth="1" min="6" max="6"/>
    <col width="18" customWidth="1" min="7" max="7"/>
  </cols>
  <sheetData>
    <row r="1" ht="28" customHeight="1">
      <c r="A1" s="10" t="inlineStr">
        <is>
          <t>Batch Upload Template — Use this format to upload multiple sheets at once</t>
        </is>
      </c>
    </row>
    <row r="2">
      <c r="A2" s="2" t="inlineStr">
        <is>
          <t>Fill in student_id, answer_key_name, and image_file_name for each row. One row = one answer sheet.</t>
        </is>
      </c>
    </row>
    <row r="3">
      <c r="A3" s="11" t="inlineStr">
        <is>
          <t>batch_id</t>
        </is>
      </c>
      <c r="B3" s="11" t="inlineStr">
        <is>
          <t>student_id</t>
        </is>
      </c>
      <c r="C3" s="11" t="inlineStr">
        <is>
          <t>student_name</t>
        </is>
      </c>
      <c r="D3" s="11" t="inlineStr">
        <is>
          <t>class</t>
        </is>
      </c>
      <c r="E3" s="11" t="inlineStr">
        <is>
          <t>answer_key_name</t>
        </is>
      </c>
      <c r="F3" s="11" t="inlineStr">
        <is>
          <t>image_file_name</t>
        </is>
      </c>
      <c r="G3" s="11" t="inlineStr">
        <is>
          <t>notes</t>
        </is>
      </c>
    </row>
    <row r="4" ht="18" customHeight="1">
      <c r="A4" s="8" t="inlineStr">
        <is>
          <t>BATCH001</t>
        </is>
      </c>
      <c r="B4" s="8" t="inlineStr">
        <is>
          <t>S001</t>
        </is>
      </c>
      <c r="C4" s="12" t="inlineStr">
        <is>
          <t>Aarav Shah</t>
        </is>
      </c>
      <c r="D4" s="8" t="inlineStr">
        <is>
          <t>8A</t>
        </is>
      </c>
      <c r="E4" s="8" t="inlineStr">
        <is>
          <t>Science_Ch5_Quiz</t>
        </is>
      </c>
      <c r="F4" s="8" t="inlineStr">
        <is>
          <t>sheet_S001.jpg</t>
        </is>
      </c>
      <c r="G4" s="12" t="inlineStr"/>
    </row>
    <row r="5" ht="18" customHeight="1">
      <c r="A5" s="5" t="inlineStr">
        <is>
          <t>BATCH001</t>
        </is>
      </c>
      <c r="B5" s="5" t="inlineStr">
        <is>
          <t>S002</t>
        </is>
      </c>
      <c r="C5" s="13" t="inlineStr">
        <is>
          <t>Priya Patel</t>
        </is>
      </c>
      <c r="D5" s="5" t="inlineStr">
        <is>
          <t>8A</t>
        </is>
      </c>
      <c r="E5" s="5" t="inlineStr">
        <is>
          <t>Science_Ch5_Quiz</t>
        </is>
      </c>
      <c r="F5" s="5" t="inlineStr">
        <is>
          <t>sheet_S002.jpg</t>
        </is>
      </c>
      <c r="G5" s="13" t="inlineStr"/>
    </row>
    <row r="6" ht="18" customHeight="1">
      <c r="A6" s="8" t="inlineStr">
        <is>
          <t>BATCH001</t>
        </is>
      </c>
      <c r="B6" s="8" t="inlineStr">
        <is>
          <t>S003</t>
        </is>
      </c>
      <c r="C6" s="12" t="inlineStr">
        <is>
          <t>Rohan Mehta</t>
        </is>
      </c>
      <c r="D6" s="8" t="inlineStr">
        <is>
          <t>8A</t>
        </is>
      </c>
      <c r="E6" s="8" t="inlineStr">
        <is>
          <t>Science_Ch5_Quiz</t>
        </is>
      </c>
      <c r="F6" s="8" t="inlineStr">
        <is>
          <t>sheet_S003.jpg</t>
        </is>
      </c>
      <c r="G6" s="12" t="inlineStr">
        <is>
          <t>absent - skip</t>
        </is>
      </c>
    </row>
    <row r="7" ht="18" customHeight="1">
      <c r="A7" s="5" t="inlineStr">
        <is>
          <t>BATCH001</t>
        </is>
      </c>
      <c r="B7" s="5" t="inlineStr">
        <is>
          <t>S004</t>
        </is>
      </c>
      <c r="C7" s="13" t="inlineStr">
        <is>
          <t>Ananya Gupta</t>
        </is>
      </c>
      <c r="D7" s="5" t="inlineStr">
        <is>
          <t>8A</t>
        </is>
      </c>
      <c r="E7" s="5" t="inlineStr">
        <is>
          <t>Science_Ch5_Quiz</t>
        </is>
      </c>
      <c r="F7" s="5" t="inlineStr">
        <is>
          <t>sheet_S004.jpg</t>
        </is>
      </c>
      <c r="G7" s="13" t="inlineStr"/>
    </row>
    <row r="8" ht="18" customHeight="1">
      <c r="A8" s="8" t="inlineStr">
        <is>
          <t>BATCH002</t>
        </is>
      </c>
      <c r="B8" s="8" t="inlineStr">
        <is>
          <t>S005</t>
        </is>
      </c>
      <c r="C8" s="12" t="inlineStr">
        <is>
          <t>Vikram Singh</t>
        </is>
      </c>
      <c r="D8" s="8" t="inlineStr">
        <is>
          <t>9B</t>
        </is>
      </c>
      <c r="E8" s="8" t="inlineStr">
        <is>
          <t>Math_Algebra_Test</t>
        </is>
      </c>
      <c r="F8" s="8" t="inlineStr">
        <is>
          <t>sheet_S005.jpg</t>
        </is>
      </c>
      <c r="G8" s="12" t="inlineStr"/>
    </row>
    <row r="9" ht="18" customHeight="1">
      <c r="A9" s="5" t="inlineStr">
        <is>
          <t>BATCH002</t>
        </is>
      </c>
      <c r="B9" s="5" t="inlineStr">
        <is>
          <t>S006</t>
        </is>
      </c>
      <c r="C9" s="13" t="inlineStr">
        <is>
          <t>Sneha Joshi</t>
        </is>
      </c>
      <c r="D9" s="5" t="inlineStr">
        <is>
          <t>9B</t>
        </is>
      </c>
      <c r="E9" s="5" t="inlineStr">
        <is>
          <t>Math_Algebra_Test</t>
        </is>
      </c>
      <c r="F9" s="5" t="inlineStr">
        <is>
          <t>sheet_S006.jpg</t>
        </is>
      </c>
      <c r="G9" s="13" t="inlineStr"/>
    </row>
    <row r="10" ht="18" customHeight="1">
      <c r="A10" s="8" t="inlineStr">
        <is>
          <t>BATCH002</t>
        </is>
      </c>
      <c r="B10" s="8" t="inlineStr">
        <is>
          <t>S007</t>
        </is>
      </c>
      <c r="C10" s="12" t="inlineStr">
        <is>
          <t>Arjun Kumar</t>
        </is>
      </c>
      <c r="D10" s="8" t="inlineStr">
        <is>
          <t>9B</t>
        </is>
      </c>
      <c r="E10" s="8" t="inlineStr">
        <is>
          <t>Math_Algebra_Test</t>
        </is>
      </c>
      <c r="F10" s="8" t="inlineStr">
        <is>
          <t>sheet_S007.jpg</t>
        </is>
      </c>
      <c r="G10" s="12" t="inlineStr">
        <is>
          <t>recheck required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" customWidth="1" min="3" max="3"/>
    <col width="10" customWidth="1" min="4" max="4"/>
    <col width="14" customWidth="1" min="5" max="5"/>
    <col width="14" customWidth="1" min="6" max="6"/>
  </cols>
  <sheetData>
    <row r="1" ht="28" customHeight="1">
      <c r="A1" s="14" t="inlineStr">
        <is>
          <t>Class Analytics — Science Ch5 Quiz (Auto-generated by Markix)</t>
        </is>
      </c>
    </row>
    <row r="3">
      <c r="A3" s="3" t="inlineStr">
        <is>
          <t>Metric</t>
        </is>
      </c>
      <c r="B3" s="3" t="inlineStr">
        <is>
          <t>Value</t>
        </is>
      </c>
      <c r="D3" s="3" t="inlineStr">
        <is>
          <t>Question</t>
        </is>
      </c>
      <c r="E3" s="3" t="inlineStr">
        <is>
          <t>Correct Answer</t>
        </is>
      </c>
      <c r="F3" s="3" t="inlineStr">
        <is>
          <t>Correct Rate</t>
        </is>
      </c>
    </row>
    <row r="4" ht="18" customHeight="1">
      <c r="A4" s="12" t="inlineStr">
        <is>
          <t>Total Students</t>
        </is>
      </c>
      <c r="B4" s="5" t="n">
        <v>15</v>
      </c>
      <c r="D4" s="8" t="inlineStr">
        <is>
          <t>Q1</t>
        </is>
      </c>
      <c r="E4" s="15" t="inlineStr">
        <is>
          <t>B</t>
        </is>
      </c>
      <c r="F4" s="16">
        <f>COUNTIF(Student_Responses!D4:D18,"B")/15</f>
        <v/>
      </c>
    </row>
    <row r="5" ht="18" customHeight="1">
      <c r="A5" s="12" t="inlineStr">
        <is>
          <t>Questions</t>
        </is>
      </c>
      <c r="B5" s="5" t="n">
        <v>20</v>
      </c>
      <c r="D5" s="8" t="inlineStr">
        <is>
          <t>Q2</t>
        </is>
      </c>
      <c r="E5" s="15" t="inlineStr">
        <is>
          <t>A</t>
        </is>
      </c>
      <c r="F5" s="16">
        <f>COUNTIF(Student_Responses!E4:E18,"A")/15</f>
        <v/>
      </c>
    </row>
    <row r="6" ht="18" customHeight="1">
      <c r="A6" s="12" t="inlineStr">
        <is>
          <t>Class Average (%)</t>
        </is>
      </c>
      <c r="B6" s="5">
        <f>AVERAGE(Student_Responses!X4:X18)</f>
        <v/>
      </c>
      <c r="D6" s="8" t="inlineStr">
        <is>
          <t>Q3</t>
        </is>
      </c>
      <c r="E6" s="15" t="inlineStr">
        <is>
          <t>C</t>
        </is>
      </c>
      <c r="F6" s="16">
        <f>COUNTIF(Student_Responses!F4:F18,"C")/15</f>
        <v/>
      </c>
    </row>
    <row r="7" ht="18" customHeight="1">
      <c r="A7" s="12" t="inlineStr">
        <is>
          <t>Highest Score</t>
        </is>
      </c>
      <c r="B7" s="5">
        <f>MAX(Student_Responses!W4:W18)</f>
        <v/>
      </c>
      <c r="D7" s="8" t="inlineStr">
        <is>
          <t>Q4</t>
        </is>
      </c>
      <c r="E7" s="15" t="inlineStr">
        <is>
          <t>D</t>
        </is>
      </c>
      <c r="F7" s="16">
        <f>COUNTIF(Student_Responses!G4:G18,"D")/15</f>
        <v/>
      </c>
    </row>
    <row r="8" ht="18" customHeight="1">
      <c r="A8" s="12" t="inlineStr">
        <is>
          <t>Lowest Score</t>
        </is>
      </c>
      <c r="B8" s="17">
        <f>MIN(Student_Responses!W4:W18)</f>
        <v/>
      </c>
      <c r="D8" s="8" t="inlineStr">
        <is>
          <t>Q5</t>
        </is>
      </c>
      <c r="E8" s="15" t="inlineStr">
        <is>
          <t>A</t>
        </is>
      </c>
      <c r="F8" s="16">
        <f>COUNTIF(Student_Responses!H4:H18,"A")/15</f>
        <v/>
      </c>
    </row>
    <row r="9" ht="18" customHeight="1">
      <c r="A9" s="12" t="inlineStr">
        <is>
          <t>Pass Rate (≥50%)</t>
        </is>
      </c>
      <c r="B9" s="5">
        <f>COUNTIF(Student_Responses!Y4:Y18,"&gt;="&amp;50)/15</f>
        <v/>
      </c>
      <c r="D9" s="8" t="inlineStr">
        <is>
          <t>Q6</t>
        </is>
      </c>
      <c r="E9" s="15" t="inlineStr">
        <is>
          <t>A</t>
        </is>
      </c>
      <c r="F9" s="16">
        <f>COUNTIF(Student_Responses!I4:I18,"A")/15</f>
        <v/>
      </c>
    </row>
    <row r="10" ht="18" customHeight="1">
      <c r="A10" s="12" t="inlineStr">
        <is>
          <t>Grade A Count</t>
        </is>
      </c>
      <c r="B10" s="5">
        <f>COUNTIF(Student_Responses!Z4:Z18,"A")</f>
        <v/>
      </c>
      <c r="D10" s="8" t="inlineStr">
        <is>
          <t>Q7</t>
        </is>
      </c>
      <c r="E10" s="15" t="inlineStr">
        <is>
          <t>C</t>
        </is>
      </c>
      <c r="F10" s="16">
        <f>COUNTIF(Student_Responses!J4:J18,"C")/15</f>
        <v/>
      </c>
    </row>
    <row r="11" ht="18" customHeight="1">
      <c r="A11" s="12" t="inlineStr">
        <is>
          <t>Grade B Count</t>
        </is>
      </c>
      <c r="B11" s="5">
        <f>COUNTIF(Student_Responses!Z4:Z18,"B")</f>
        <v/>
      </c>
      <c r="D11" s="8" t="inlineStr">
        <is>
          <t>Q8</t>
        </is>
      </c>
      <c r="E11" s="15" t="inlineStr">
        <is>
          <t>C</t>
        </is>
      </c>
      <c r="F11" s="16">
        <f>COUNTIF(Student_Responses!K4:K18,"C")/15</f>
        <v/>
      </c>
    </row>
    <row r="12" ht="18" customHeight="1">
      <c r="A12" s="12" t="inlineStr">
        <is>
          <t>Grade C Count</t>
        </is>
      </c>
      <c r="B12" s="5">
        <f>COUNTIF(Student_Responses!Z4:Z18,"C")</f>
        <v/>
      </c>
      <c r="D12" s="8" t="inlineStr">
        <is>
          <t>Q9</t>
        </is>
      </c>
      <c r="E12" s="15" t="inlineStr">
        <is>
          <t>B</t>
        </is>
      </c>
      <c r="F12" s="16">
        <f>COUNTIF(Student_Responses!L4:L18,"B")/15</f>
        <v/>
      </c>
    </row>
    <row r="13" ht="18" customHeight="1">
      <c r="A13" s="12" t="inlineStr">
        <is>
          <t>Grade D Count</t>
        </is>
      </c>
      <c r="B13" s="5">
        <f>COUNTIF(Student_Responses!Z4:Z18,"D")</f>
        <v/>
      </c>
      <c r="D13" s="8" t="inlineStr">
        <is>
          <t>Q10</t>
        </is>
      </c>
      <c r="E13" s="15" t="inlineStr">
        <is>
          <t>A</t>
        </is>
      </c>
      <c r="F13" s="16">
        <f>COUNTIF(Student_Responses!M4:M18,"A")/15</f>
        <v/>
      </c>
    </row>
    <row r="14" ht="18" customHeight="1">
      <c r="D14" s="8" t="inlineStr">
        <is>
          <t>Q11</t>
        </is>
      </c>
      <c r="E14" s="15" t="inlineStr">
        <is>
          <t>B</t>
        </is>
      </c>
      <c r="F14" s="16">
        <f>COUNTIF(Student_Responses!N4:N18,"B")/15</f>
        <v/>
      </c>
    </row>
    <row r="15" ht="18" customHeight="1">
      <c r="D15" s="8" t="inlineStr">
        <is>
          <t>Q12</t>
        </is>
      </c>
      <c r="E15" s="15" t="inlineStr">
        <is>
          <t>A</t>
        </is>
      </c>
      <c r="F15" s="16">
        <f>COUNTIF(Student_Responses!O4:O18,"A")/15</f>
        <v/>
      </c>
    </row>
    <row r="16" ht="18" customHeight="1">
      <c r="D16" s="8" t="inlineStr">
        <is>
          <t>Q13</t>
        </is>
      </c>
      <c r="E16" s="15" t="inlineStr">
        <is>
          <t>A</t>
        </is>
      </c>
      <c r="F16" s="16">
        <f>COUNTIF(Student_Responses!P4:P18,"A")/15</f>
        <v/>
      </c>
    </row>
    <row r="17" ht="18" customHeight="1">
      <c r="D17" s="8" t="inlineStr">
        <is>
          <t>Q14</t>
        </is>
      </c>
      <c r="E17" s="15" t="inlineStr">
        <is>
          <t>D</t>
        </is>
      </c>
      <c r="F17" s="16">
        <f>COUNTIF(Student_Responses!Q4:Q18,"D")/15</f>
        <v/>
      </c>
    </row>
    <row r="18" ht="18" customHeight="1">
      <c r="D18" s="8" t="inlineStr">
        <is>
          <t>Q15</t>
        </is>
      </c>
      <c r="E18" s="15" t="inlineStr">
        <is>
          <t>A</t>
        </is>
      </c>
      <c r="F18" s="16">
        <f>COUNTIF(Student_Responses!R4:R18,"A")/15</f>
        <v/>
      </c>
    </row>
    <row r="19" ht="18" customHeight="1">
      <c r="D19" s="8" t="inlineStr">
        <is>
          <t>Q16</t>
        </is>
      </c>
      <c r="E19" s="15" t="inlineStr">
        <is>
          <t>B</t>
        </is>
      </c>
      <c r="F19" s="16">
        <f>COUNTIF(Student_Responses!S4:S18,"B")/15</f>
        <v/>
      </c>
    </row>
    <row r="20" ht="18" customHeight="1">
      <c r="D20" s="8" t="inlineStr">
        <is>
          <t>Q17</t>
        </is>
      </c>
      <c r="E20" s="15" t="inlineStr">
        <is>
          <t>B</t>
        </is>
      </c>
      <c r="F20" s="16">
        <f>COUNTIF(Student_Responses!T4:T18,"B")/15</f>
        <v/>
      </c>
    </row>
    <row r="21" ht="18" customHeight="1">
      <c r="D21" s="8" t="inlineStr">
        <is>
          <t>Q18</t>
        </is>
      </c>
      <c r="E21" s="15" t="inlineStr">
        <is>
          <t>D</t>
        </is>
      </c>
      <c r="F21" s="16">
        <f>COUNTIF(Student_Responses!U4:U18,"D")/15</f>
        <v/>
      </c>
    </row>
    <row r="22" ht="18" customHeight="1">
      <c r="D22" s="8" t="inlineStr">
        <is>
          <t>Q19</t>
        </is>
      </c>
      <c r="E22" s="15" t="inlineStr">
        <is>
          <t>B</t>
        </is>
      </c>
      <c r="F22" s="16">
        <f>COUNTIF(Student_Responses!V4:V18,"B")/15</f>
        <v/>
      </c>
    </row>
    <row r="23" ht="18" customHeight="1">
      <c r="D23" s="8" t="inlineStr">
        <is>
          <t>Q20</t>
        </is>
      </c>
      <c r="E23" s="15" t="inlineStr">
        <is>
          <t>C</t>
        </is>
      </c>
      <c r="F23" s="16">
        <f>COUNTIF(Student_Responses!W4:W18,"C")/15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46" customWidth="1" min="4" max="4"/>
  </cols>
  <sheetData>
    <row r="1" ht="30" customHeight="1">
      <c r="A1" s="14" t="inlineStr">
        <is>
          <t>How to Use This Dataset with Markix OMR Checker</t>
        </is>
      </c>
    </row>
    <row r="3" ht="22" customHeight="1">
      <c r="A3" s="3" t="inlineStr">
        <is>
          <t>STEP</t>
        </is>
      </c>
      <c r="B3" s="3" t="inlineStr">
        <is>
          <t>SHEET</t>
        </is>
      </c>
      <c r="C3" s="3" t="inlineStr">
        <is>
          <t>ACTION</t>
        </is>
      </c>
      <c r="D3" s="3" t="inlineStr">
        <is>
          <t>NOTES</t>
        </is>
      </c>
    </row>
    <row r="4" ht="22" customHeight="1">
      <c r="A4" s="4" t="inlineStr">
        <is>
          <t>1</t>
        </is>
      </c>
      <c r="B4" s="4" t="inlineStr">
        <is>
          <t>Answer_Keys</t>
        </is>
      </c>
      <c r="C4" s="18" t="inlineStr">
        <is>
          <t>Go to Keys page → Add New Key</t>
        </is>
      </c>
      <c r="D4" s="18" t="inlineStr">
        <is>
          <t>Enter key name, subject, grade, and bubble each answer</t>
        </is>
      </c>
    </row>
    <row r="5" ht="22" customHeight="1">
      <c r="A5" s="5" t="inlineStr">
        <is>
          <t>2</t>
        </is>
      </c>
      <c r="B5" s="5" t="inlineStr">
        <is>
          <t>Student_Responses</t>
        </is>
      </c>
      <c r="C5" s="13" t="inlineStr">
        <is>
          <t>Use as reference for manual entry or CSV import</t>
        </is>
      </c>
      <c r="D5" s="13" t="inlineStr">
        <is>
          <t>Shows expected format for 15 students on a 20-Q quiz</t>
        </is>
      </c>
    </row>
    <row r="6" ht="22" customHeight="1">
      <c r="A6" s="4" t="inlineStr">
        <is>
          <t>3</t>
        </is>
      </c>
      <c r="B6" s="4" t="inlineStr">
        <is>
          <t>Batch_Upload_Format</t>
        </is>
      </c>
      <c r="C6" s="18" t="inlineStr">
        <is>
          <t>Go to Batch page → Upload this CSV</t>
        </is>
      </c>
      <c r="D6" s="18" t="inlineStr">
        <is>
          <t>One row per student sheet image</t>
        </is>
      </c>
    </row>
    <row r="7" ht="22" customHeight="1">
      <c r="A7" s="5" t="inlineStr">
        <is>
          <t>4</t>
        </is>
      </c>
      <c r="B7" s="5" t="inlineStr">
        <is>
          <t>Analytics_Summary</t>
        </is>
      </c>
      <c r="C7" s="13" t="inlineStr">
        <is>
          <t>Auto-generated after processing — verify formulas</t>
        </is>
      </c>
      <c r="D7" s="13" t="inlineStr">
        <is>
          <t>Class average, per-question rates, grade distribution</t>
        </is>
      </c>
    </row>
    <row r="8" ht="22" customHeight="1">
      <c r="A8" s="4" t="inlineStr">
        <is>
          <t>—</t>
        </is>
      </c>
      <c r="B8" s="4" t="inlineStr">
        <is>
          <t>—</t>
        </is>
      </c>
      <c r="C8" s="18" t="inlineStr">
        <is>
          <t>App URL: http://localhost:5173</t>
        </is>
      </c>
      <c r="D8" s="18" t="inlineStr">
        <is>
          <t>Backend must be running on port 8000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2026-04-12T09:59:24Z</dcterms:created>
  <dcterms:modified xmlns:dcterms="http://purl.org/dc/terms/" xmlns:xsi="http://www.w3.org/2001/XMLSchema-instance" xsi:type="dcterms:W3CDTF">2026-04-12T09:59:24Z</dcterms:modified>
</cp:coreProperties>
</file>